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Flux de trésorerie" sheetId="2" state="visible" r:id="rId2"/>
    <sheet xmlns:r="http://schemas.openxmlformats.org/officeDocument/2006/relationships" name="Sensibilité NPV" sheetId="3" state="visible" r:id="rId3"/>
    <sheet xmlns:r="http://schemas.openxmlformats.org/officeDocument/2006/relationships" name="Hypothè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%"/>
    <numFmt numFmtId="166" formatCode="0.0&quot; ans&quot;"/>
  </numFmts>
  <fonts count="9">
    <font>
      <name val="Calibri"/>
      <family val="2"/>
      <color theme="1"/>
      <sz val="11"/>
      <scheme val="minor"/>
    </font>
    <font>
      <b val="1"/>
      <color rgb="000C5563"/>
      <sz val="16"/>
    </font>
    <font>
      <i val="1"/>
      <color rgb="005E6B7A"/>
    </font>
    <font>
      <b val="1"/>
      <color rgb="005E6B7A"/>
      <sz val="10"/>
    </font>
    <font>
      <b val="1"/>
      <color rgb="005E6B7A"/>
      <sz val="9"/>
    </font>
    <font>
      <b val="1"/>
      <color rgb="002FA36B"/>
      <sz val="18"/>
    </font>
    <font>
      <b val="1"/>
      <color rgb="00FFFFFF"/>
    </font>
    <font>
      <b val="1"/>
      <color rgb="000C5563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37A8B"/>
      </patternFill>
    </fill>
  </fills>
  <borders count="2">
    <border>
      <left/>
      <right/>
      <top/>
      <bottom/>
      <diagonal/>
    </border>
    <border>
      <left style="thin">
        <color rgb="00DCE2E8"/>
      </left>
      <right style="thin">
        <color rgb="00DCE2E8"/>
      </right>
      <top style="thin">
        <color rgb="00DCE2E8"/>
      </top>
      <bottom style="thin">
        <color rgb="00DCE2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Flux net par année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 de trésorerie'!B1</f>
            </strRef>
          </tx>
          <spPr>
            <a:solidFill xmlns:a="http://schemas.openxmlformats.org/drawingml/2006/main">
              <a:srgbClr val="137A8B"/>
            </a:solidFill>
            <a:ln xmlns:a="http://schemas.openxmlformats.org/drawingml/2006/main">
              <a:prstDash val="solid"/>
            </a:ln>
          </spPr>
          <cat>
            <numRef>
              <f>'Flux de trésorerie'!$A$2:$A$5</f>
            </numRef>
          </cat>
          <val>
            <numRef>
              <f>'Flux de trésorerie'!$B$2:$B$5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Business case — dispositif anti-annulation de commande</t>
        </is>
      </c>
    </row>
    <row r="3">
      <c r="B3" s="2" t="inlineStr">
        <is>
          <t>Généré automatiquement le 2026-08-28</t>
        </is>
      </c>
    </row>
    <row r="5">
      <c r="B5" s="3" t="inlineStr">
        <is>
          <t>Constat mesuré (base réelle, Projet 07)</t>
        </is>
      </c>
    </row>
    <row r="6">
      <c r="B6" t="inlineStr">
        <is>
          <t>19,232 commandes/an · 7.2% annulées · valeur moyenne d'une commande annulée 1,788 €</t>
        </is>
      </c>
    </row>
    <row r="8">
      <c r="B8" s="4" t="inlineStr">
        <is>
          <t>NPV (VAN)</t>
        </is>
      </c>
      <c r="D8" s="4" t="inlineStr">
        <is>
          <t>IRR (TRI)</t>
        </is>
      </c>
      <c r="F8" s="4" t="inlineStr">
        <is>
          <t>Payback</t>
        </is>
      </c>
    </row>
    <row r="9">
      <c r="B9" s="5" t="n">
        <v>36081.26468143046</v>
      </c>
      <c r="D9" s="6" t="n">
        <v>0.2236058531883395</v>
      </c>
      <c r="F9" s="7" t="n">
        <v>2.301496214874655</v>
      </c>
    </row>
  </sheetData>
  <mergeCells count="6">
    <mergeCell ref="B8:C8"/>
    <mergeCell ref="D8:E8"/>
    <mergeCell ref="B9:C9"/>
    <mergeCell ref="D9:E9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8" t="inlineStr">
        <is>
          <t>Année</t>
        </is>
      </c>
      <c r="B1" s="8" t="inlineStr">
        <is>
          <t>Flux net €</t>
        </is>
      </c>
      <c r="C1" s="8" t="inlineStr">
        <is>
          <t>Flux cumulé €</t>
        </is>
      </c>
    </row>
    <row r="2">
      <c r="A2" s="9" t="n">
        <v>0</v>
      </c>
      <c r="B2" s="10" t="n">
        <v>-120000</v>
      </c>
      <c r="C2" s="10" t="n">
        <v>-120000</v>
      </c>
    </row>
    <row r="3">
      <c r="A3" s="9" t="n">
        <v>1</v>
      </c>
      <c r="B3" s="10" t="n">
        <v>8755</v>
      </c>
      <c r="C3" s="10" t="n">
        <v>-111245</v>
      </c>
    </row>
    <row r="4">
      <c r="A4" s="9" t="n">
        <v>2</v>
      </c>
      <c r="B4" s="10" t="n">
        <v>77511</v>
      </c>
      <c r="C4" s="10" t="n">
        <v>-33734</v>
      </c>
    </row>
    <row r="5">
      <c r="A5" s="9" t="n">
        <v>3</v>
      </c>
      <c r="B5" s="10" t="n">
        <v>111888</v>
      </c>
      <c r="C5" s="10" t="n">
        <v>78154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1" t="inlineStr">
        <is>
          <t>NPV (€) selon le taux de réduction des annulations (lignes) et la marge brute (colonnes)</t>
        </is>
      </c>
    </row>
    <row r="4">
      <c r="B4" s="8" t="inlineStr"/>
      <c r="C4" s="8" t="inlineStr">
        <is>
          <t>15%</t>
        </is>
      </c>
      <c r="D4" s="8" t="inlineStr">
        <is>
          <t>20%</t>
        </is>
      </c>
      <c r="E4" s="8" t="inlineStr">
        <is>
          <t>25%</t>
        </is>
      </c>
      <c r="F4" s="8" t="inlineStr">
        <is>
          <t>30%</t>
        </is>
      </c>
      <c r="G4" s="8" t="inlineStr">
        <is>
          <t>35%</t>
        </is>
      </c>
    </row>
    <row r="5">
      <c r="B5" s="12" t="inlineStr">
        <is>
          <t>0.5%</t>
        </is>
      </c>
      <c r="C5" s="10" t="n">
        <v>-223417</v>
      </c>
      <c r="D5" s="10" t="n">
        <v>-208153</v>
      </c>
      <c r="E5" s="10" t="n">
        <v>-192888</v>
      </c>
      <c r="F5" s="10" t="n">
        <v>-177623</v>
      </c>
      <c r="G5" s="10" t="n">
        <v>-162359</v>
      </c>
    </row>
    <row r="6">
      <c r="B6" s="12" t="inlineStr">
        <is>
          <t>1.0%</t>
        </is>
      </c>
      <c r="C6" s="10" t="n">
        <v>-177623</v>
      </c>
      <c r="D6" s="10" t="n">
        <v>-147094</v>
      </c>
      <c r="E6" s="10" t="n">
        <v>-116565</v>
      </c>
      <c r="F6" s="10" t="n">
        <v>-86036</v>
      </c>
      <c r="G6" s="10" t="n">
        <v>-55506</v>
      </c>
    </row>
    <row r="7">
      <c r="B7" s="12" t="inlineStr">
        <is>
          <t>1.5%</t>
        </is>
      </c>
      <c r="C7" s="10" t="n">
        <v>-131830</v>
      </c>
      <c r="D7" s="10" t="n">
        <v>-86036</v>
      </c>
      <c r="E7" s="10" t="n">
        <v>-40242</v>
      </c>
      <c r="F7" s="10" t="n">
        <v>5552</v>
      </c>
      <c r="G7" s="10" t="n">
        <v>51346</v>
      </c>
    </row>
    <row r="8">
      <c r="B8" s="12" t="inlineStr">
        <is>
          <t>2.0%</t>
        </is>
      </c>
      <c r="C8" s="10" t="n">
        <v>-86036</v>
      </c>
      <c r="D8" s="10" t="n">
        <v>-24977</v>
      </c>
      <c r="E8" s="10" t="n">
        <v>36081</v>
      </c>
      <c r="F8" s="10" t="n">
        <v>97140</v>
      </c>
      <c r="G8" s="10" t="n">
        <v>158198</v>
      </c>
    </row>
    <row r="9">
      <c r="B9" s="12" t="inlineStr">
        <is>
          <t>2.5%</t>
        </is>
      </c>
      <c r="C9" s="10" t="n">
        <v>-40242</v>
      </c>
      <c r="D9" s="10" t="n">
        <v>36081</v>
      </c>
      <c r="E9" s="10" t="n">
        <v>112404</v>
      </c>
      <c r="F9" s="10" t="n">
        <v>188727</v>
      </c>
      <c r="G9" s="10" t="n">
        <v>265051</v>
      </c>
    </row>
    <row r="10">
      <c r="B10" s="12" t="inlineStr">
        <is>
          <t>3.0%</t>
        </is>
      </c>
      <c r="C10" s="10" t="n">
        <v>5552</v>
      </c>
      <c r="D10" s="10" t="n">
        <v>97140</v>
      </c>
      <c r="E10" s="10" t="n">
        <v>188727</v>
      </c>
      <c r="F10" s="10" t="n">
        <v>280315</v>
      </c>
      <c r="G10" s="10" t="n">
        <v>371903</v>
      </c>
    </row>
    <row r="11">
      <c r="B11" s="12" t="inlineStr">
        <is>
          <t>3.5%</t>
        </is>
      </c>
      <c r="C11" s="10" t="n">
        <v>51346</v>
      </c>
      <c r="D11" s="10" t="n">
        <v>158198</v>
      </c>
      <c r="E11" s="10" t="n">
        <v>265051</v>
      </c>
      <c r="F11" s="10" t="n">
        <v>371903</v>
      </c>
      <c r="G11" s="10" t="n">
        <v>478755</v>
      </c>
    </row>
  </sheetData>
  <conditionalFormatting sqref="C5:G11">
    <cfRule type="colorScale" priority="1">
      <colorScale>
        <cfvo type="min"/>
        <cfvo type="num" val="0"/>
        <cfvo type="max"/>
        <color rgb="00D9534F"/>
        <color rgb="00FFFFFF"/>
        <color rgb="002FA3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8" customWidth="1" min="3" max="3"/>
  </cols>
  <sheetData>
    <row r="1">
      <c r="A1" s="8" t="inlineStr">
        <is>
          <t>Hypothèse</t>
        </is>
      </c>
      <c r="B1" s="8" t="inlineStr">
        <is>
          <t>Valeur</t>
        </is>
      </c>
      <c r="C1" s="8" t="inlineStr">
        <is>
          <t>Origine</t>
        </is>
      </c>
    </row>
    <row r="2">
      <c r="A2" s="9" t="inlineStr">
        <is>
          <t>Commandes / an</t>
        </is>
      </c>
      <c r="B2" s="9" t="inlineStr">
        <is>
          <t>19,232</t>
        </is>
      </c>
      <c r="C2" s="9" t="inlineStr">
        <is>
          <t>Mesuré (Projet 07, 24 mois complets)</t>
        </is>
      </c>
    </row>
    <row r="3">
      <c r="A3" s="9" t="inlineStr">
        <is>
          <t>Taux d'annulation actuel</t>
        </is>
      </c>
      <c r="B3" s="9" t="inlineStr">
        <is>
          <t>7.18%</t>
        </is>
      </c>
      <c r="C3" s="9" t="inlineStr">
        <is>
          <t>Mesuré (Projet 07)</t>
        </is>
      </c>
    </row>
    <row r="4">
      <c r="A4" s="9" t="inlineStr">
        <is>
          <t>Valeur moy. commande annulée</t>
        </is>
      </c>
      <c r="B4" s="9" t="inlineStr">
        <is>
          <t>1,788 €</t>
        </is>
      </c>
      <c r="C4" s="9" t="inlineStr">
        <is>
          <t>Mesuré (Projet 07)</t>
        </is>
      </c>
    </row>
    <row r="5">
      <c r="A5" s="9" t="inlineStr">
        <is>
          <t>Points d'annulation récupérés</t>
        </is>
      </c>
      <c r="B5" s="9" t="inlineStr">
        <is>
          <t>2.0%</t>
        </is>
      </c>
      <c r="C5" s="9" t="inlineStr">
        <is>
          <t>Hypothèse (dossier fournisseur / benchmark secteur)</t>
        </is>
      </c>
    </row>
    <row r="6">
      <c r="A6" s="9" t="inlineStr">
        <is>
          <t>Marge brute</t>
        </is>
      </c>
      <c r="B6" s="9" t="inlineStr">
        <is>
          <t>25%</t>
        </is>
      </c>
      <c r="C6" s="9" t="inlineStr">
        <is>
          <t>Hypothèse (non présente dans le schéma OLTP)</t>
        </is>
      </c>
    </row>
    <row r="7">
      <c r="A7" s="9" t="inlineStr">
        <is>
          <t>Investissement initial</t>
        </is>
      </c>
      <c r="B7" s="9" t="inlineStr">
        <is>
          <t>120,000 €</t>
        </is>
      </c>
      <c r="C7" s="9" t="inlineStr">
        <is>
          <t>Hypothèse (implémentation + intégration + formation)</t>
        </is>
      </c>
    </row>
    <row r="8">
      <c r="A8" s="9" t="inlineStr">
        <is>
          <t>Coût annuel du dispositif</t>
        </is>
      </c>
      <c r="B8" s="9" t="inlineStr">
        <is>
          <t>60,000 €</t>
        </is>
      </c>
      <c r="C8" s="9" t="inlineStr">
        <is>
          <t>Hypothèse (licence + ~0,3 ETP exploitation)</t>
        </is>
      </c>
    </row>
    <row r="9">
      <c r="A9" s="9" t="inlineStr">
        <is>
          <t>Taux d'actualisation</t>
        </is>
      </c>
      <c r="B9" s="9" t="inlineStr">
        <is>
          <t>10%</t>
        </is>
      </c>
      <c r="C9" s="9" t="inlineStr">
        <is>
          <t>Hypothèse (coût du capital)</t>
        </is>
      </c>
    </row>
    <row r="10">
      <c r="A10" s="9" t="inlineStr">
        <is>
          <t>Horizon</t>
        </is>
      </c>
      <c r="B10" s="9" t="inlineStr">
        <is>
          <t>3 ans</t>
        </is>
      </c>
      <c r="C10" s="9" t="inlineStr">
        <is>
          <t>Choix de modélisation</t>
        </is>
      </c>
    </row>
    <row r="11">
      <c r="A11" s="9" t="inlineStr">
        <is>
          <t>Montée en charge</t>
        </is>
      </c>
      <c r="B11" s="9" t="inlineStr">
        <is>
          <t>(0.4, 0.8, 1.0)</t>
        </is>
      </c>
      <c r="C11" s="9" t="inlineStr">
        <is>
          <t>Hypothèse (déploiement progressif)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2026-08-28T17:22:10Z</dcterms:created>
  <dcterms:modified xmlns:dcterms="http://purl.org/dc/terms/" xmlns:xsi="http://www.w3.org/2001/XMLSchema-instance" xsi:type="dcterms:W3CDTF">2026-08-28T17:22:10Z</dcterms:modified>
</cp:coreProperties>
</file>